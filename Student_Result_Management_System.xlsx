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QT\Excel\mini projects\"/>
    </mc:Choice>
  </mc:AlternateContent>
  <xr:revisionPtr revIDLastSave="0" documentId="13_ncr:1_{50E8E3E0-4C76-4576-B8C5-D1B26F5E60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udents" sheetId="1" r:id="rId1"/>
    <sheet name="Dashboard" sheetId="2" r:id="rId2"/>
  </sheets>
  <definedNames>
    <definedName name="_xlnm._FilterDatabase" localSheetId="0" hidden="1">Students!$A$1:$H$32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7" i="1"/>
  <c r="K6" i="1"/>
  <c r="K5" i="1"/>
  <c r="K4" i="1"/>
  <c r="K3" i="1"/>
  <c r="H24" i="1"/>
  <c r="H9" i="1"/>
  <c r="G24" i="1"/>
  <c r="G9" i="1"/>
  <c r="G26" i="1"/>
  <c r="H26" i="1"/>
  <c r="H31" i="1"/>
  <c r="H4" i="1"/>
  <c r="H18" i="1"/>
  <c r="H12" i="1"/>
  <c r="H20" i="1"/>
  <c r="H28" i="1"/>
  <c r="H3" i="1"/>
  <c r="H23" i="1"/>
  <c r="H10" i="1"/>
  <c r="H15" i="1"/>
  <c r="H30" i="1"/>
  <c r="H13" i="1"/>
  <c r="H7" i="1"/>
  <c r="H22" i="1"/>
  <c r="H16" i="1"/>
  <c r="H6" i="1"/>
  <c r="H32" i="1"/>
  <c r="H11" i="1"/>
  <c r="H21" i="1"/>
  <c r="H2" i="1"/>
  <c r="H25" i="1"/>
  <c r="H14" i="1"/>
  <c r="H29" i="1"/>
  <c r="H8" i="1"/>
  <c r="H17" i="1"/>
  <c r="H27" i="1"/>
  <c r="H5" i="1"/>
  <c r="H19" i="1"/>
  <c r="G31" i="1"/>
  <c r="G4" i="1"/>
  <c r="G18" i="1"/>
  <c r="G12" i="1"/>
  <c r="G20" i="1"/>
  <c r="G28" i="1"/>
  <c r="G3" i="1"/>
  <c r="G23" i="1"/>
  <c r="G10" i="1"/>
  <c r="G15" i="1"/>
  <c r="G30" i="1"/>
  <c r="G13" i="1"/>
  <c r="G7" i="1"/>
  <c r="G22" i="1"/>
  <c r="G16" i="1"/>
  <c r="G6" i="1"/>
  <c r="G32" i="1"/>
  <c r="G11" i="1"/>
  <c r="G21" i="1"/>
  <c r="G2" i="1"/>
  <c r="G25" i="1"/>
  <c r="G14" i="1"/>
  <c r="G29" i="1"/>
  <c r="G8" i="1"/>
  <c r="G17" i="1"/>
  <c r="G27" i="1"/>
  <c r="G5" i="1"/>
  <c r="G19" i="1"/>
  <c r="B2" i="2"/>
</calcChain>
</file>

<file path=xl/sharedStrings.xml><?xml version="1.0" encoding="utf-8"?>
<sst xmlns="http://schemas.openxmlformats.org/spreadsheetml/2006/main" count="110" uniqueCount="46">
  <si>
    <t>Name</t>
  </si>
  <si>
    <t>Section</t>
  </si>
  <si>
    <t>Marks</t>
  </si>
  <si>
    <t>Result</t>
  </si>
  <si>
    <t>Grade</t>
  </si>
  <si>
    <t>A</t>
  </si>
  <si>
    <t>B</t>
  </si>
  <si>
    <t>C</t>
  </si>
  <si>
    <t>Kiran</t>
  </si>
  <si>
    <t>Search Roll</t>
  </si>
  <si>
    <t>Roll No</t>
  </si>
  <si>
    <t>Student Name</t>
  </si>
  <si>
    <t>Class</t>
  </si>
  <si>
    <t>Gender</t>
  </si>
  <si>
    <t>Date of Birth</t>
  </si>
  <si>
    <t>Rohith</t>
  </si>
  <si>
    <t>Male</t>
  </si>
  <si>
    <t>Priya</t>
  </si>
  <si>
    <t>Female</t>
  </si>
  <si>
    <t>Rahul</t>
  </si>
  <si>
    <t>Sneha</t>
  </si>
  <si>
    <t>Anjali</t>
  </si>
  <si>
    <t>Arjun</t>
  </si>
  <si>
    <t>Divya</t>
  </si>
  <si>
    <t>Harsha</t>
  </si>
  <si>
    <t>Keerthi</t>
  </si>
  <si>
    <t>Naveen</t>
  </si>
  <si>
    <t>Pooja</t>
  </si>
  <si>
    <t>Suresh</t>
  </si>
  <si>
    <t>Nisha</t>
  </si>
  <si>
    <t>Varun</t>
  </si>
  <si>
    <t>Kavya</t>
  </si>
  <si>
    <t>Vinay</t>
  </si>
  <si>
    <t>Lakshmi</t>
  </si>
  <si>
    <t>Sai</t>
  </si>
  <si>
    <t>Bhavya</t>
  </si>
  <si>
    <t>Ajay</t>
  </si>
  <si>
    <t>Meghana</t>
  </si>
  <si>
    <t>Rakesh</t>
  </si>
  <si>
    <t>Sindhu</t>
  </si>
  <si>
    <t>Teja</t>
  </si>
  <si>
    <t>Deepika</t>
  </si>
  <si>
    <t>Manoj</t>
  </si>
  <si>
    <t>Swathi</t>
  </si>
  <si>
    <t>Charan</t>
  </si>
  <si>
    <t>Pavani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</si>
</sst>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/>
    <xf numFmtId="0" fontId="3" fillId="3" borderId="0" xfId="0" applyFont="1" applyFill="1" applyBorder="1"/>
    <xf numFmtId="0" fontId="0" fillId="0" borderId="0" xfId="0" applyBorder="1"/>
    <xf numFmtId="0" fontId="0" fillId="0" borderId="0" xfId="0" applyFont="1" applyAlignment="1">
      <alignment horizontal="left" vertical="center" wrapText="1"/>
    </xf>
    <xf numFmtId="14" fontId="0" fillId="0" borderId="0" xfId="0" applyNumberFormat="1" applyFont="1" applyAlignment="1">
      <alignment horizontal="right" vertical="center"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topLeftCell="A12" zoomScaleNormal="100" workbookViewId="0">
      <selection activeCell="K7" sqref="K7"/>
    </sheetView>
  </sheetViews>
  <sheetFormatPr defaultRowHeight="15" x14ac:dyDescent="0.25"/>
  <cols>
    <col min="1" max="1" width="21.5703125" customWidth="1"/>
    <col min="2" max="2" width="23.7109375" customWidth="1"/>
    <col min="3" max="3" width="32.5703125" customWidth="1"/>
    <col min="4" max="4" width="25.85546875" customWidth="1"/>
    <col min="5" max="5" width="33.5703125" customWidth="1"/>
    <col min="6" max="6" width="39.7109375" customWidth="1"/>
    <col min="10" max="10" width="18.7109375" customWidth="1"/>
  </cols>
  <sheetData>
    <row r="1" spans="1:21" x14ac:dyDescent="0.25">
      <c r="A1" s="1" t="s">
        <v>10</v>
      </c>
      <c r="B1" s="1" t="s">
        <v>11</v>
      </c>
      <c r="C1" s="5" t="s">
        <v>1</v>
      </c>
      <c r="D1" s="5" t="s">
        <v>13</v>
      </c>
      <c r="E1" s="5" t="s">
        <v>14</v>
      </c>
      <c r="F1" s="5" t="s">
        <v>2</v>
      </c>
      <c r="G1" s="5" t="s">
        <v>3</v>
      </c>
      <c r="H1" s="5" t="s">
        <v>4</v>
      </c>
      <c r="J1" s="6" t="s">
        <v>10</v>
      </c>
      <c r="K1" s="7">
        <v>104</v>
      </c>
    </row>
    <row r="2" spans="1:21" x14ac:dyDescent="0.25">
      <c r="A2" s="2">
        <v>122</v>
      </c>
      <c r="B2" s="2" t="s">
        <v>37</v>
      </c>
      <c r="C2" s="2" t="s">
        <v>7</v>
      </c>
      <c r="D2" s="2" t="s">
        <v>18</v>
      </c>
      <c r="E2" s="3">
        <v>38654</v>
      </c>
      <c r="F2" s="2">
        <v>98</v>
      </c>
      <c r="G2" t="str">
        <f>IF(F2&gt;=35,"Pass","Fail")</f>
        <v>Pass</v>
      </c>
      <c r="H2" t="str">
        <f>IF(F2&gt;=90,"A+",IF(F2&gt;=75,"A",IF(F2&gt;=60,"B",IF(F2&gt;=35,"C","F"))))</f>
        <v>A+</v>
      </c>
      <c r="J2" s="7" t="s">
        <v>11</v>
      </c>
      <c r="K2" s="12" t="str">
        <f>_xlfn.XLOOKUP(K1,A2:A31,B2:B31,"Not Found")</f>
        <v>Sneha</v>
      </c>
    </row>
    <row r="3" spans="1:21" x14ac:dyDescent="0.25">
      <c r="A3" s="2">
        <v>109</v>
      </c>
      <c r="B3" s="2" t="s">
        <v>24</v>
      </c>
      <c r="C3" s="2" t="s">
        <v>5</v>
      </c>
      <c r="D3" s="2" t="s">
        <v>16</v>
      </c>
      <c r="E3" s="3">
        <v>38338</v>
      </c>
      <c r="F3" s="2">
        <v>95</v>
      </c>
      <c r="G3" t="str">
        <f>IF(F3&gt;=35,"Pass","Fail")</f>
        <v>Pass</v>
      </c>
      <c r="H3" t="str">
        <f>IF(F3&gt;=90,"A+",IF(F3&gt;=75,"A",IF(F3&gt;=60,"B",IF(F3&gt;=35,"C","F"))))</f>
        <v>A+</v>
      </c>
      <c r="J3" s="7" t="s">
        <v>12</v>
      </c>
      <c r="K3" s="12" t="str">
        <f>_xlfn.XLOOKUP(K1,A2:A31,C2:C31,"Not Found")</f>
        <v>C</v>
      </c>
    </row>
    <row r="4" spans="1:21" x14ac:dyDescent="0.25">
      <c r="A4" s="2">
        <v>104</v>
      </c>
      <c r="B4" s="2" t="s">
        <v>20</v>
      </c>
      <c r="C4" s="2" t="s">
        <v>7</v>
      </c>
      <c r="D4" s="2" t="s">
        <v>18</v>
      </c>
      <c r="E4" s="3">
        <v>38661</v>
      </c>
      <c r="F4" s="2">
        <v>93</v>
      </c>
      <c r="G4" t="str">
        <f>IF(F4&gt;=35,"Pass","Fail")</f>
        <v>Pass</v>
      </c>
      <c r="H4" t="str">
        <f>IF(F4&gt;=90,"A+",IF(F4&gt;=75,"A",IF(F4&gt;=60,"B",IF(F4&gt;=35,"C","F"))))</f>
        <v>A+</v>
      </c>
      <c r="J4" s="7" t="s">
        <v>13</v>
      </c>
      <c r="K4" s="12" t="str">
        <f>_xlfn.XLOOKUP(K1,A2:A31,D2:D31,"Not Found")</f>
        <v>Female</v>
      </c>
    </row>
    <row r="5" spans="1:21" x14ac:dyDescent="0.25">
      <c r="A5" s="2">
        <v>129</v>
      </c>
      <c r="B5" s="2" t="s">
        <v>44</v>
      </c>
      <c r="C5" s="2" t="s">
        <v>6</v>
      </c>
      <c r="D5" s="2" t="s">
        <v>16</v>
      </c>
      <c r="E5" s="3">
        <v>38175</v>
      </c>
      <c r="F5" s="2">
        <v>92</v>
      </c>
      <c r="G5" t="str">
        <f>IF(F5&gt;=35,"Pass","Fail")</f>
        <v>Pass</v>
      </c>
      <c r="H5" t="str">
        <f>IF(F5&gt;=90,"A+",IF(F5&gt;=75,"A",IF(F5&gt;=60,"B",IF(F5&gt;=35,"C","F"))))</f>
        <v>A+</v>
      </c>
      <c r="J5" s="7" t="s">
        <v>2</v>
      </c>
      <c r="K5" s="7">
        <f>_xlfn.XLOOKUP(K1,A2:A31,F2:F31,"Not Found")</f>
        <v>93</v>
      </c>
    </row>
    <row r="6" spans="1:21" x14ac:dyDescent="0.25">
      <c r="A6" s="2">
        <v>118</v>
      </c>
      <c r="B6" s="2" t="s">
        <v>33</v>
      </c>
      <c r="C6" s="2" t="s">
        <v>5</v>
      </c>
      <c r="D6" s="2" t="s">
        <v>18</v>
      </c>
      <c r="E6" s="3">
        <v>38559</v>
      </c>
      <c r="F6" s="2">
        <v>91</v>
      </c>
      <c r="G6" t="str">
        <f>IF(F6&gt;=35,"Pass","Fail")</f>
        <v>Pass</v>
      </c>
      <c r="H6" t="str">
        <f>IF(F6&gt;=90,"A+",IF(F6&gt;=75,"A",IF(F6&gt;=60,"B",IF(F6&gt;=35,"C","F"))))</f>
        <v>A+</v>
      </c>
      <c r="J6" s="7" t="s">
        <v>3</v>
      </c>
      <c r="K6" s="12" t="str">
        <f>_xlfn.XLOOKUP(K1,A2:A31,G2:G31,"Not Found")</f>
        <v>Pass</v>
      </c>
    </row>
    <row r="7" spans="1:21" x14ac:dyDescent="0.25">
      <c r="A7" s="2">
        <v>115</v>
      </c>
      <c r="B7" s="2" t="s">
        <v>30</v>
      </c>
      <c r="C7" s="2" t="s">
        <v>5</v>
      </c>
      <c r="D7" s="2" t="s">
        <v>16</v>
      </c>
      <c r="E7" s="3">
        <v>38129</v>
      </c>
      <c r="F7" s="2">
        <v>89</v>
      </c>
      <c r="G7" t="str">
        <f>IF(F7&gt;=35,"Pass","Fail")</f>
        <v>Pass</v>
      </c>
      <c r="H7" t="str">
        <f>IF(F7&gt;=90,"A+",IF(F7&gt;=75,"A",IF(F7&gt;=60,"B",IF(F7&gt;=35,"C","F"))))</f>
        <v>A</v>
      </c>
      <c r="J7" s="7" t="s">
        <v>4</v>
      </c>
      <c r="K7" s="12" t="str">
        <f>_xlfn.XLOOKUP(K1,A2:A31,H2:H31,"Not Found")</f>
        <v>A+</v>
      </c>
    </row>
    <row r="8" spans="1:21" x14ac:dyDescent="0.25">
      <c r="A8" s="2">
        <v>126</v>
      </c>
      <c r="B8" s="2" t="s">
        <v>41</v>
      </c>
      <c r="C8" s="2" t="s">
        <v>6</v>
      </c>
      <c r="D8" s="2" t="s">
        <v>18</v>
      </c>
      <c r="E8" s="3">
        <v>38607</v>
      </c>
      <c r="F8" s="2">
        <v>88</v>
      </c>
      <c r="G8" t="str">
        <f>IF(F8&gt;=35,"Pass","Fail")</f>
        <v>Pass</v>
      </c>
      <c r="H8" t="str">
        <f>IF(F8&gt;=90,"A+",IF(F8&gt;=75,"A",IF(F8&gt;=60,"B",IF(F8&gt;=35,"C","F"))))</f>
        <v>A</v>
      </c>
    </row>
    <row r="9" spans="1:21" x14ac:dyDescent="0.25">
      <c r="A9" s="2">
        <v>101</v>
      </c>
      <c r="B9" s="2" t="s">
        <v>15</v>
      </c>
      <c r="C9" s="2" t="s">
        <v>5</v>
      </c>
      <c r="D9" s="2" t="s">
        <v>16</v>
      </c>
      <c r="E9" s="3">
        <v>38119</v>
      </c>
      <c r="F9" s="2">
        <v>85</v>
      </c>
      <c r="G9" t="str">
        <f>IF(F9&gt;=35,"Pass","Fail")</f>
        <v>Pass</v>
      </c>
      <c r="H9" t="str">
        <f>IF(F9&gt;=90,"A+",IF(F9&gt;=75,"A",IF(F9&gt;=60,"B",IF(F9&gt;=35,"C","F"))))</f>
        <v>A</v>
      </c>
    </row>
    <row r="10" spans="1:21" x14ac:dyDescent="0.25">
      <c r="A10" s="2">
        <v>111</v>
      </c>
      <c r="B10" s="2" t="s">
        <v>26</v>
      </c>
      <c r="C10" s="2" t="s">
        <v>6</v>
      </c>
      <c r="D10" s="2" t="s">
        <v>16</v>
      </c>
      <c r="E10" s="3">
        <v>38271</v>
      </c>
      <c r="F10" s="2">
        <v>82</v>
      </c>
      <c r="G10" t="str">
        <f>IF(F10&gt;=35,"Pass","Fail")</f>
        <v>Pass</v>
      </c>
      <c r="H10" t="str">
        <f>IF(F10&gt;=90,"A+",IF(F10&gt;=75,"A",IF(F10&gt;=60,"B",IF(F10&gt;=35,"C","F"))))</f>
        <v>A</v>
      </c>
    </row>
    <row r="11" spans="1:21" x14ac:dyDescent="0.25">
      <c r="A11" s="2">
        <v>120</v>
      </c>
      <c r="B11" s="2" t="s">
        <v>35</v>
      </c>
      <c r="C11" s="2" t="s">
        <v>6</v>
      </c>
      <c r="D11" s="2" t="s">
        <v>18</v>
      </c>
      <c r="E11" s="3">
        <v>38687</v>
      </c>
      <c r="F11" s="2">
        <v>79</v>
      </c>
      <c r="G11" t="str">
        <f>IF(F11&gt;=35,"Pass","Fail")</f>
        <v>Pass</v>
      </c>
      <c r="H11" t="str">
        <f>IF(F11&gt;=90,"A+",IF(F11&gt;=75,"A",IF(F11&gt;=60,"B",IF(F11&gt;=35,"C","F"))))</f>
        <v>A</v>
      </c>
    </row>
    <row r="12" spans="1:21" x14ac:dyDescent="0.25">
      <c r="A12" s="2">
        <v>106</v>
      </c>
      <c r="B12" s="2" t="s">
        <v>21</v>
      </c>
      <c r="C12" s="2" t="s">
        <v>5</v>
      </c>
      <c r="D12" s="2" t="s">
        <v>18</v>
      </c>
      <c r="E12" s="3">
        <v>38425</v>
      </c>
      <c r="F12" s="2">
        <v>77</v>
      </c>
      <c r="G12" t="str">
        <f>IF(F12&gt;=35,"Pass","Fail")</f>
        <v>Pass</v>
      </c>
      <c r="H12" t="str">
        <f>IF(F12&gt;=90,"A+",IF(F12&gt;=75,"A",IF(F12&gt;=60,"B",IF(F12&gt;=35,"C","F"))))</f>
        <v>A</v>
      </c>
    </row>
    <row r="13" spans="1:21" x14ac:dyDescent="0.25">
      <c r="A13" s="2">
        <v>114</v>
      </c>
      <c r="B13" s="2" t="s">
        <v>29</v>
      </c>
      <c r="C13" s="2" t="s">
        <v>6</v>
      </c>
      <c r="D13" s="2" t="s">
        <v>18</v>
      </c>
      <c r="E13" s="3">
        <v>38579</v>
      </c>
      <c r="F13" s="2">
        <v>73</v>
      </c>
      <c r="G13" t="str">
        <f>IF(F13&gt;=35,"Pass","Fail")</f>
        <v>Pass</v>
      </c>
      <c r="H13" t="str">
        <f>IF(F13&gt;=90,"A+",IF(F13&gt;=75,"A",IF(F13&gt;=60,"B",IF(F13&gt;=35,"C","F"))))</f>
        <v>B</v>
      </c>
    </row>
    <row r="14" spans="1:21" x14ac:dyDescent="0.25">
      <c r="A14" s="2">
        <v>124</v>
      </c>
      <c r="B14" s="2" t="s">
        <v>39</v>
      </c>
      <c r="C14" s="2" t="s">
        <v>5</v>
      </c>
      <c r="D14" s="2" t="s">
        <v>18</v>
      </c>
      <c r="E14" s="3">
        <v>38509</v>
      </c>
      <c r="F14" s="2">
        <v>71</v>
      </c>
      <c r="G14" t="str">
        <f>IF(F14&gt;=35,"Pass","Fail")</f>
        <v>Pass</v>
      </c>
      <c r="H14" t="str">
        <f>IF(F14&gt;=90,"A+",IF(F14&gt;=75,"A",IF(F14&gt;=60,"B",IF(F14&gt;=35,"C","F"))))</f>
        <v>B</v>
      </c>
      <c r="T14" s="8"/>
      <c r="U14" s="9"/>
    </row>
    <row r="15" spans="1:21" x14ac:dyDescent="0.25">
      <c r="A15" s="2">
        <v>112</v>
      </c>
      <c r="B15" s="2" t="s">
        <v>27</v>
      </c>
      <c r="C15" s="2" t="s">
        <v>5</v>
      </c>
      <c r="D15" s="2" t="s">
        <v>18</v>
      </c>
      <c r="E15" s="3">
        <v>38522</v>
      </c>
      <c r="F15" s="2">
        <v>68</v>
      </c>
      <c r="G15" t="str">
        <f>IF(F15&gt;=35,"Pass","Fail")</f>
        <v>Pass</v>
      </c>
      <c r="H15" t="str">
        <f>IF(F15&gt;=90,"A+",IF(F15&gt;=75,"A",IF(F15&gt;=60,"B",IF(F15&gt;=35,"C","F"))))</f>
        <v>B</v>
      </c>
      <c r="T15" s="9"/>
      <c r="U15" s="9"/>
    </row>
    <row r="16" spans="1:21" x14ac:dyDescent="0.25">
      <c r="A16" s="2">
        <v>117</v>
      </c>
      <c r="B16" s="2" t="s">
        <v>32</v>
      </c>
      <c r="C16" s="2" t="s">
        <v>6</v>
      </c>
      <c r="D16" s="2" t="s">
        <v>16</v>
      </c>
      <c r="E16" s="3">
        <v>38021</v>
      </c>
      <c r="F16" s="2">
        <v>64</v>
      </c>
      <c r="G16" t="str">
        <f>IF(F16&gt;=35,"Pass","Fail")</f>
        <v>Pass</v>
      </c>
      <c r="H16" t="str">
        <f>IF(F16&gt;=90,"A+",IF(F16&gt;=75,"A",IF(F16&gt;=60,"B",IF(F16&gt;=35,"C","F"))))</f>
        <v>B</v>
      </c>
      <c r="T16" s="9"/>
      <c r="U16" s="9"/>
    </row>
    <row r="17" spans="1:21" x14ac:dyDescent="0.25">
      <c r="A17" s="2">
        <v>127</v>
      </c>
      <c r="B17" s="2" t="s">
        <v>42</v>
      </c>
      <c r="C17" s="2" t="s">
        <v>5</v>
      </c>
      <c r="D17" s="2" t="s">
        <v>16</v>
      </c>
      <c r="E17" s="3">
        <v>38080</v>
      </c>
      <c r="F17" s="2">
        <v>63</v>
      </c>
      <c r="G17" t="str">
        <f>IF(F17&gt;=35,"Pass","Fail")</f>
        <v>Pass</v>
      </c>
      <c r="H17" t="str">
        <f>IF(F17&gt;=90,"A+",IF(F17&gt;=75,"A",IF(F17&gt;=60,"B",IF(F17&gt;=35,"C","F"))))</f>
        <v>B</v>
      </c>
      <c r="T17" s="9"/>
      <c r="U17" s="9"/>
    </row>
    <row r="18" spans="1:21" x14ac:dyDescent="0.25">
      <c r="A18" s="2">
        <v>105</v>
      </c>
      <c r="B18" s="2" t="s">
        <v>8</v>
      </c>
      <c r="C18" s="2" t="s">
        <v>6</v>
      </c>
      <c r="D18" s="2" t="s">
        <v>16</v>
      </c>
      <c r="E18" s="3">
        <v>38007</v>
      </c>
      <c r="F18" s="2">
        <v>61</v>
      </c>
      <c r="G18" t="str">
        <f>IF(F18&gt;=35,"Pass","Fail")</f>
        <v>Pass</v>
      </c>
      <c r="H18" t="str">
        <f>IF(F18&gt;=90,"A+",IF(F18&gt;=75,"A",IF(F18&gt;=60,"B",IF(F18&gt;=35,"C","F"))))</f>
        <v>B</v>
      </c>
      <c r="T18" s="9"/>
      <c r="U18" s="9"/>
    </row>
    <row r="19" spans="1:21" x14ac:dyDescent="0.25">
      <c r="A19" s="2">
        <v>130</v>
      </c>
      <c r="B19" s="2" t="s">
        <v>45</v>
      </c>
      <c r="C19" s="2" t="s">
        <v>5</v>
      </c>
      <c r="D19" s="2" t="s">
        <v>18</v>
      </c>
      <c r="E19" s="3">
        <v>38684</v>
      </c>
      <c r="F19" s="2">
        <v>59</v>
      </c>
      <c r="G19" t="str">
        <f>IF(F19&gt;=35,"Pass","Fail")</f>
        <v>Pass</v>
      </c>
      <c r="H19" t="str">
        <f>IF(F19&gt;=90,"A+",IF(F19&gt;=75,"A",IF(F19&gt;=60,"B",IF(F19&gt;=35,"C","F"))))</f>
        <v>C</v>
      </c>
      <c r="T19" s="9"/>
      <c r="U19" s="9"/>
    </row>
    <row r="20" spans="1:21" x14ac:dyDescent="0.25">
      <c r="A20" s="2">
        <v>107</v>
      </c>
      <c r="B20" s="2" t="s">
        <v>22</v>
      </c>
      <c r="C20" s="2" t="s">
        <v>7</v>
      </c>
      <c r="D20" s="2" t="s">
        <v>16</v>
      </c>
      <c r="E20" s="3">
        <v>38208</v>
      </c>
      <c r="F20" s="2">
        <v>58</v>
      </c>
      <c r="G20" t="str">
        <f>IF(F20&gt;=35,"Pass","Fail")</f>
        <v>Pass</v>
      </c>
      <c r="H20" t="str">
        <f>IF(F20&gt;=90,"A+",IF(F20&gt;=75,"A",IF(F20&gt;=60,"B",IF(F20&gt;=35,"C","F"))))</f>
        <v>C</v>
      </c>
      <c r="T20" s="9"/>
      <c r="U20" s="9"/>
    </row>
    <row r="21" spans="1:21" x14ac:dyDescent="0.25">
      <c r="A21" s="2">
        <v>121</v>
      </c>
      <c r="B21" s="2" t="s">
        <v>36</v>
      </c>
      <c r="C21" s="2" t="s">
        <v>5</v>
      </c>
      <c r="D21" s="2" t="s">
        <v>16</v>
      </c>
      <c r="E21" s="3">
        <v>38062</v>
      </c>
      <c r="F21" s="2">
        <v>55</v>
      </c>
      <c r="G21" t="str">
        <f>IF(F21&gt;=35,"Pass","Fail")</f>
        <v>Pass</v>
      </c>
      <c r="H21" t="str">
        <f>IF(F21&gt;=90,"A+",IF(F21&gt;=75,"A",IF(F21&gt;=60,"B",IF(F21&gt;=35,"C","F"))))</f>
        <v>C</v>
      </c>
    </row>
    <row r="22" spans="1:21" x14ac:dyDescent="0.25">
      <c r="A22" s="2">
        <v>116</v>
      </c>
      <c r="B22" s="2" t="s">
        <v>31</v>
      </c>
      <c r="C22" s="2" t="s">
        <v>7</v>
      </c>
      <c r="D22" s="2" t="s">
        <v>18</v>
      </c>
      <c r="E22" s="3">
        <v>38669</v>
      </c>
      <c r="F22" s="2">
        <v>52</v>
      </c>
      <c r="G22" t="str">
        <f>IF(F22&gt;=35,"Pass","Fail")</f>
        <v>Pass</v>
      </c>
      <c r="H22" t="str">
        <f>IF(F22&gt;=90,"A+",IF(F22&gt;=75,"A",IF(F22&gt;=60,"B",IF(F22&gt;=35,"C","F"))))</f>
        <v>C</v>
      </c>
    </row>
    <row r="23" spans="1:21" x14ac:dyDescent="0.25">
      <c r="A23" s="2">
        <v>110</v>
      </c>
      <c r="B23" s="2" t="s">
        <v>25</v>
      </c>
      <c r="C23" s="2" t="s">
        <v>7</v>
      </c>
      <c r="D23" s="2" t="s">
        <v>18</v>
      </c>
      <c r="E23" s="3">
        <v>38450</v>
      </c>
      <c r="F23" s="2">
        <v>49</v>
      </c>
      <c r="G23" t="str">
        <f>IF(F23&gt;=35,"Pass","Fail")</f>
        <v>Pass</v>
      </c>
      <c r="H23" t="str">
        <f>IF(F23&gt;=90,"A+",IF(F23&gt;=75,"A",IF(F23&gt;=60,"B",IF(F23&gt;=35,"C","F"))))</f>
        <v>C</v>
      </c>
    </row>
    <row r="24" spans="1:21" x14ac:dyDescent="0.25">
      <c r="A24" s="4">
        <v>101</v>
      </c>
      <c r="B24" s="10" t="s">
        <v>19</v>
      </c>
      <c r="C24" s="10" t="s">
        <v>5</v>
      </c>
      <c r="D24" s="10" t="s">
        <v>16</v>
      </c>
      <c r="E24" s="11">
        <v>37712</v>
      </c>
      <c r="F24" s="4">
        <v>47</v>
      </c>
      <c r="G24" t="str">
        <f>IF(F24&gt;=35,"Pass","Fail")</f>
        <v>Pass</v>
      </c>
      <c r="H24" t="str">
        <f>IF(F24&gt;=90,"A+",IF(F24&gt;=75,"A",IF(F24&gt;=60,"B",IF(F24&gt;=35,"C","F"))))</f>
        <v>C</v>
      </c>
    </row>
    <row r="25" spans="1:21" x14ac:dyDescent="0.25">
      <c r="A25" s="2">
        <v>123</v>
      </c>
      <c r="B25" s="2" t="s">
        <v>38</v>
      </c>
      <c r="C25" s="2" t="s">
        <v>6</v>
      </c>
      <c r="D25" s="2" t="s">
        <v>16</v>
      </c>
      <c r="E25" s="3">
        <v>38006</v>
      </c>
      <c r="F25" s="2">
        <v>47</v>
      </c>
      <c r="G25" t="str">
        <f>IF(F25&gt;=35,"Pass","Fail")</f>
        <v>Pass</v>
      </c>
      <c r="H25" t="str">
        <f>IF(F25&gt;=90,"A+",IF(F25&gt;=75,"A",IF(F25&gt;=60,"B",IF(F25&gt;=35,"C","F"))))</f>
        <v>C</v>
      </c>
    </row>
    <row r="26" spans="1:21" x14ac:dyDescent="0.25">
      <c r="A26" s="2">
        <v>102</v>
      </c>
      <c r="B26" s="2" t="s">
        <v>17</v>
      </c>
      <c r="C26" s="2" t="s">
        <v>6</v>
      </c>
      <c r="D26" s="2" t="s">
        <v>18</v>
      </c>
      <c r="E26" s="3">
        <v>38551</v>
      </c>
      <c r="F26" s="2">
        <v>44</v>
      </c>
      <c r="G26" t="str">
        <f>IF(F26&gt;=35,"Pass","Fail")</f>
        <v>Pass</v>
      </c>
      <c r="H26" t="str">
        <f>IF(F26&gt;=90,"A+",IF(F26&gt;=75,"A",IF(F26&gt;=60,"B",IF(F26&gt;=35,"C","F"))))</f>
        <v>C</v>
      </c>
    </row>
    <row r="27" spans="1:21" x14ac:dyDescent="0.25">
      <c r="A27" s="2">
        <v>128</v>
      </c>
      <c r="B27" s="2" t="s">
        <v>43</v>
      </c>
      <c r="C27" s="2" t="s">
        <v>7</v>
      </c>
      <c r="D27" s="2" t="s">
        <v>18</v>
      </c>
      <c r="E27" s="3">
        <v>38401</v>
      </c>
      <c r="F27" s="2">
        <v>40</v>
      </c>
      <c r="G27" t="str">
        <f>IF(F27&gt;=35,"Pass","Fail")</f>
        <v>Pass</v>
      </c>
      <c r="H27" t="str">
        <f>IF(F27&gt;=90,"A+",IF(F27&gt;=75,"A",IF(F27&gt;=60,"B",IF(F27&gt;=35,"C","F"))))</f>
        <v>C</v>
      </c>
    </row>
    <row r="28" spans="1:21" x14ac:dyDescent="0.25">
      <c r="A28" s="2">
        <v>108</v>
      </c>
      <c r="B28" s="2" t="s">
        <v>23</v>
      </c>
      <c r="C28" s="2" t="s">
        <v>6</v>
      </c>
      <c r="D28" s="2" t="s">
        <v>18</v>
      </c>
      <c r="E28" s="3">
        <v>38622</v>
      </c>
      <c r="F28" s="2">
        <v>36</v>
      </c>
      <c r="G28" t="str">
        <f>IF(F28&gt;=35,"Pass","Fail")</f>
        <v>Pass</v>
      </c>
      <c r="H28" t="str">
        <f>IF(F28&gt;=90,"A+",IF(F28&gt;=75,"A",IF(F28&gt;=60,"B",IF(F28&gt;=35,"C","F"))))</f>
        <v>C</v>
      </c>
    </row>
    <row r="29" spans="1:21" x14ac:dyDescent="0.25">
      <c r="A29" s="2">
        <v>125</v>
      </c>
      <c r="B29" s="2" t="s">
        <v>40</v>
      </c>
      <c r="C29" s="2" t="s">
        <v>7</v>
      </c>
      <c r="D29" s="2" t="s">
        <v>16</v>
      </c>
      <c r="E29" s="3">
        <v>38223</v>
      </c>
      <c r="F29" s="2">
        <v>34</v>
      </c>
      <c r="G29" t="str">
        <f>IF(F29&gt;=35,"Pass","Fail")</f>
        <v>Fail</v>
      </c>
      <c r="H29" t="str">
        <f>IF(F29&gt;=90,"A+",IF(F29&gt;=75,"A",IF(F29&gt;=60,"B",IF(F29&gt;=35,"C","F"))))</f>
        <v>F</v>
      </c>
    </row>
    <row r="30" spans="1:21" x14ac:dyDescent="0.25">
      <c r="A30" s="2">
        <v>113</v>
      </c>
      <c r="B30" s="2" t="s">
        <v>28</v>
      </c>
      <c r="C30" s="2" t="s">
        <v>7</v>
      </c>
      <c r="D30" s="2" t="s">
        <v>16</v>
      </c>
      <c r="E30" s="3">
        <v>38016</v>
      </c>
      <c r="F30" s="2">
        <v>31</v>
      </c>
      <c r="G30" t="str">
        <f>IF(F30&gt;=35,"Pass","Fail")</f>
        <v>Fail</v>
      </c>
      <c r="H30" t="str">
        <f>IF(F30&gt;=90,"A+",IF(F30&gt;=75,"A",IF(F30&gt;=60,"B",IF(F30&gt;=35,"C","F"))))</f>
        <v>F</v>
      </c>
    </row>
    <row r="31" spans="1:21" x14ac:dyDescent="0.25">
      <c r="A31" s="2">
        <v>103</v>
      </c>
      <c r="B31" s="2" t="s">
        <v>19</v>
      </c>
      <c r="C31" s="2" t="s">
        <v>5</v>
      </c>
      <c r="D31" s="2" t="s">
        <v>16</v>
      </c>
      <c r="E31" s="3">
        <v>38042</v>
      </c>
      <c r="F31" s="2">
        <v>29</v>
      </c>
      <c r="G31" t="str">
        <f>IF(F31&gt;=35,"Pass","Fail")</f>
        <v>Fail</v>
      </c>
      <c r="H31" t="str">
        <f>IF(F31&gt;=90,"A+",IF(F31&gt;=75,"A",IF(F31&gt;=60,"B",IF(F31&gt;=35,"C","F"))))</f>
        <v>F</v>
      </c>
    </row>
    <row r="32" spans="1:21" x14ac:dyDescent="0.25">
      <c r="A32" s="2">
        <v>119</v>
      </c>
      <c r="B32" s="2" t="s">
        <v>34</v>
      </c>
      <c r="C32" s="2" t="s">
        <v>7</v>
      </c>
      <c r="D32" s="2" t="s">
        <v>16</v>
      </c>
      <c r="E32" s="3">
        <v>38240</v>
      </c>
      <c r="F32" s="2">
        <v>27</v>
      </c>
      <c r="G32" t="str">
        <f>IF(F32&gt;=35,"Pass","Fail")</f>
        <v>Fail</v>
      </c>
      <c r="H32" t="str">
        <f>IF(F32&gt;=90,"A+",IF(F32&gt;=75,"A",IF(F32&gt;=60,"B",IF(F32&gt;=35,"C","F"))))</f>
        <v>F</v>
      </c>
    </row>
  </sheetData>
  <autoFilter ref="A1:H32" xr:uid="{00000000-0001-0000-0000-000000000000}"/>
  <sortState xmlns:xlrd2="http://schemas.microsoft.com/office/spreadsheetml/2017/richdata2" ref="A2:H32">
    <sortCondition descending="1" ref="F2:F32"/>
  </sortState>
  <conditionalFormatting sqref="F1:F32 F86:F1048576">
    <cfRule type="cellIs" dxfId="1" priority="1" operator="lessThan">
      <formula>35</formula>
    </cfRule>
  </conditionalFormatting>
  <dataValidations count="2">
    <dataValidation type="list" allowBlank="1" showInputMessage="1" showErrorMessage="1" errorTitle="Invalid Section" error="Please select correct section" promptTitle="Enter Section" sqref="C1:C1048576" xr:uid="{5584845D-2DD9-45BE-B1B7-0D899E815B28}">
      <formula1>"A,B,C"</formula1>
    </dataValidation>
    <dataValidation type="list" allowBlank="1" showInputMessage="1" showErrorMessage="1" errorTitle="Gender Doesn't Match" error="Please Enter Correct Gender" promptTitle="Please Select Gender" sqref="D1:D1048576" xr:uid="{9E6050FE-DFDD-4BAA-B96F-C5F1D0959B1D}">
      <formula1>"Male,Female"</formula1>
    </dataValidation>
  </dataValidations>
  <pageMargins left="0.75" right="0.75" top="1" bottom="1" header="0.5" footer="0.5"/>
  <ignoredErrors>
    <ignoredError sqref="K2:K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t="s">
        <v>9</v>
      </c>
      <c r="B1" t="s">
        <v>0</v>
      </c>
    </row>
    <row r="2" spans="1:2" x14ac:dyDescent="0.25">
      <c r="A2">
        <v>103</v>
      </c>
      <c r="B2" t="e">
        <f ca="1">_xludf.XLOOKUP(A2,Students!A2:A100,Students!B2:B100,"Not Found")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chaganti rohith</cp:lastModifiedBy>
  <dcterms:created xsi:type="dcterms:W3CDTF">2026-07-14T13:08:43Z</dcterms:created>
  <dcterms:modified xsi:type="dcterms:W3CDTF">2026-07-14T15:44:33Z</dcterms:modified>
</cp:coreProperties>
</file>